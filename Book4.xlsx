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xr:revisionPtr revIDLastSave="0" documentId="8_{25A9F23B-B3D3-44F0-8E6A-C99C312D8DFB}" xr6:coauthVersionLast="47" xr6:coauthVersionMax="47" xr10:uidLastSave="{00000000-0000-0000-0000-000000000000}"/>
  <bookViews>
    <workbookView xWindow="-110" yWindow="-110" windowWidth="19420" windowHeight="11500" xr2:uid="{8F6FA676-5069-4CE7-A61C-A0666638E87D}"/>
  </bookViews>
  <sheets>
    <sheet name="16-04-2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alcChain>
</file>

<file path=xl/sharedStrings.xml><?xml version="1.0" encoding="utf-8"?>
<sst xmlns="http://schemas.openxmlformats.org/spreadsheetml/2006/main" count="171" uniqueCount="95">
  <si>
    <t>Raw Material</t>
  </si>
  <si>
    <t>PP Platts South Asia</t>
  </si>
  <si>
    <t>FOB</t>
  </si>
  <si>
    <t>UV</t>
  </si>
  <si>
    <t>Total/Ton</t>
  </si>
  <si>
    <t>PE(Liner)</t>
  </si>
  <si>
    <t xml:space="preserve">The conversions mentioned below are the standard conversions. </t>
  </si>
  <si>
    <t>For the USA Market, conversions would be $75/MT Extra.</t>
  </si>
  <si>
    <t xml:space="preserve">For Food Grade Bags, an additional $250/ton should be considered (PP+PE). Bags produced at KPW and OEL will have higher conversion rates, even for non-food grade bags. Every salesperson should take note of this as a standard practice when providing quotations to clients. </t>
  </si>
  <si>
    <t>1-Loop and 2-Loop options are not available with Food Grade specifications; therefore, we regretfully cannot provide quotes for these. For 8 shuttle looms $50/Tons extra to be charged compared to 6 shuttle looms. 1 attachment $100/Ton Extra and 2 attachment $150/Ton Extra.</t>
  </si>
  <si>
    <t>In case of 2 loop bags $50/ton extra to be charged.</t>
  </si>
  <si>
    <t>These conversions are based on the minimum weight mentioned in the chart below. If the weights are less than the specified minimum, additional costs will be charged based on the complexity of the bags.</t>
  </si>
  <si>
    <t>U+2 Panel</t>
  </si>
  <si>
    <t>Min. 1.50 kg.</t>
  </si>
  <si>
    <t>Circular</t>
  </si>
  <si>
    <t>Min. 1.75 kg.</t>
  </si>
  <si>
    <t>Q-Bag</t>
  </si>
  <si>
    <t>Min. 2.20 kg.</t>
  </si>
  <si>
    <t>Type C bags should be offered based on the conversions for the type of bags, plus an additional as under.</t>
  </si>
  <si>
    <t>$600/ton</t>
  </si>
  <si>
    <t>$650/Ton</t>
  </si>
  <si>
    <t>$700/Ton</t>
  </si>
  <si>
    <t>Type D bags should be offered as per the chart provided.</t>
  </si>
  <si>
    <t>In case of U+2Panel X-Corner loops, conversion will increase by $75/Ton from Circular Design..</t>
  </si>
  <si>
    <t>Bag Design</t>
  </si>
  <si>
    <t>Loops</t>
  </si>
  <si>
    <t>Complication</t>
  </si>
  <si>
    <t>Conv./Ton</t>
  </si>
  <si>
    <t>Addons</t>
  </si>
  <si>
    <t>Corner</t>
  </si>
  <si>
    <t>Builder</t>
  </si>
  <si>
    <t>Tyvek Safety Label</t>
  </si>
  <si>
    <t>Pcs</t>
  </si>
  <si>
    <t>Complicated without Dust Proof</t>
  </si>
  <si>
    <t>Pallets</t>
  </si>
  <si>
    <t>Complicated with Dust Proof</t>
  </si>
  <si>
    <t>Tabbing</t>
  </si>
  <si>
    <t>Without Shape Loosely Inserted.</t>
  </si>
  <si>
    <t>Gluing Standard</t>
  </si>
  <si>
    <t>With Shape Loosely Inserted.</t>
  </si>
  <si>
    <t>B-Lock/Cable Tie</t>
  </si>
  <si>
    <t>With Flenze Shape</t>
  </si>
  <si>
    <t>MF Webbing</t>
  </si>
  <si>
    <t>Per Ton</t>
  </si>
  <si>
    <t>X-Corner</t>
  </si>
  <si>
    <t>Colour Fabric</t>
  </si>
  <si>
    <t>$100</t>
  </si>
  <si>
    <t>Colour Webbing</t>
  </si>
  <si>
    <t>Felt</t>
  </si>
  <si>
    <t>$5500</t>
  </si>
  <si>
    <t>Leno Fabric</t>
  </si>
  <si>
    <t>$2000</t>
  </si>
  <si>
    <t>Plus RM</t>
  </si>
  <si>
    <t>Rachael Fabric</t>
  </si>
  <si>
    <t>$2500</t>
  </si>
  <si>
    <t>Bottom Running Loops</t>
  </si>
  <si>
    <t>Alu Liner</t>
  </si>
  <si>
    <t>$4600</t>
  </si>
  <si>
    <t>Migratory Antistatic</t>
  </si>
  <si>
    <t>$1650</t>
  </si>
  <si>
    <t>Permanent Antistatic</t>
  </si>
  <si>
    <t>$2800</t>
  </si>
  <si>
    <t>Conductive Liner</t>
  </si>
  <si>
    <t>$3800</t>
  </si>
  <si>
    <t>Baffle Liner Bag PE</t>
  </si>
  <si>
    <t>$4000</t>
  </si>
  <si>
    <t>1 Loop</t>
  </si>
  <si>
    <t>Loosely Inserted Liner</t>
  </si>
  <si>
    <t>Net Baffle (PP-$1600)</t>
  </si>
  <si>
    <t>$4700</t>
  </si>
  <si>
    <t>Suspended Liner</t>
  </si>
  <si>
    <t>Printing</t>
  </si>
  <si>
    <t>Sewn Liner at Boottom</t>
  </si>
  <si>
    <t>Up to 2S2C</t>
  </si>
  <si>
    <t>$0.07</t>
  </si>
  <si>
    <t>1+4 Corner Loops</t>
  </si>
  <si>
    <t>Without Liner or Shape Liner</t>
  </si>
  <si>
    <t>Up to 4S4C</t>
  </si>
  <si>
    <t>$0.10</t>
  </si>
  <si>
    <t>1+4 X- Corner Loops</t>
  </si>
  <si>
    <t>Fusion</t>
  </si>
  <si>
    <t>Complicated</t>
  </si>
  <si>
    <t>Ventilated</t>
  </si>
  <si>
    <t>Without Leno/Rachael Skirt</t>
  </si>
  <si>
    <t>Type</t>
  </si>
  <si>
    <t>Cliché Cost</t>
  </si>
  <si>
    <t>1S/1C</t>
  </si>
  <si>
    <t>1S/2C</t>
  </si>
  <si>
    <t>2S/2C</t>
  </si>
  <si>
    <t>1S/3C</t>
  </si>
  <si>
    <t>2S/3C</t>
  </si>
  <si>
    <t>4S/2C</t>
  </si>
  <si>
    <t>4S/3C</t>
  </si>
  <si>
    <t>Less than 500 pcs</t>
  </si>
  <si>
    <t>More than 500 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</si>
</sst>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5C]#,##0"/>
    <numFmt numFmtId="165" formatCode="[$$-45C]#,##0.00"/>
    <numFmt numFmtId="166" formatCode="&quot;$&quot;#,##0.00"/>
  </numFmts>
  <fonts count="4" x14ac:knownFonts="1">
    <font>
      <sz val="11"/>
      <color theme="1"/>
      <name val="Aptos Narrow"/>
      <family val="2"/>
      <scheme val="minor"/>
    </font>
    <font>
      <sz val="11"/>
      <color theme="1"/>
      <name val="Congenial"/>
    </font>
    <font>
      <b/>
      <sz val="11"/>
      <name val="Congenial"/>
    </font>
    <font>
      <sz val="11"/>
      <name val="Congenial"/>
    </font>
  </fonts>
  <fills count="5">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indexed="9"/>
        <bgColor indexed="64"/>
      </patternFill>
    </fill>
  </fills>
  <borders count="24">
    <border>
      <left/>
      <right/>
      <top/>
      <bottom/>
      <diagonal/>
    </border>
    <border>
      <left style="medium">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medium">
        <color theme="2" tint="-0.499984740745262"/>
      </right>
      <top style="thin">
        <color theme="2" tint="-0.499984740745262"/>
      </top>
      <bottom style="medium">
        <color theme="2" tint="-0.499984740745262"/>
      </bottom>
      <diagonal/>
    </border>
    <border>
      <left style="medium">
        <color theme="2" tint="-0.499984740745262"/>
      </left>
      <right/>
      <top style="medium">
        <color theme="2" tint="-0.499984740745262"/>
      </top>
      <bottom/>
      <diagonal/>
    </border>
    <border>
      <left/>
      <right/>
      <top style="medium">
        <color theme="2" tint="-0.499984740745262"/>
      </top>
      <bottom/>
      <diagonal/>
    </border>
    <border>
      <left/>
      <right style="medium">
        <color theme="2" tint="-0.499984740745262"/>
      </right>
      <top style="medium">
        <color theme="2" tint="-0.499984740745262"/>
      </top>
      <bottom/>
      <diagonal/>
    </border>
    <border>
      <left style="medium">
        <color theme="2" tint="-0.499984740745262"/>
      </left>
      <right/>
      <top/>
      <bottom/>
      <diagonal/>
    </border>
    <border>
      <left/>
      <right style="medium">
        <color theme="2" tint="-0.499984740745262"/>
      </right>
      <top/>
      <bottom/>
      <diagonal/>
    </border>
    <border>
      <left style="medium">
        <color theme="2" tint="-0.499984740745262"/>
      </left>
      <right/>
      <top/>
      <bottom style="medium">
        <color theme="2" tint="-0.499984740745262"/>
      </bottom>
      <diagonal/>
    </border>
    <border>
      <left/>
      <right/>
      <top/>
      <bottom style="medium">
        <color theme="2" tint="-0.499984740745262"/>
      </bottom>
      <diagonal/>
    </border>
    <border>
      <left/>
      <right style="medium">
        <color theme="2" tint="-0.499984740745262"/>
      </right>
      <top/>
      <bottom style="medium">
        <color theme="2" tint="-0.4999847407452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6">
    <xf numFmtId="0" fontId="0" fillId="0" borderId="0" xfId="0"/>
    <xf numFmtId="0" fontId="1" fillId="0" borderId="0" xfId="0" applyFont="1" applyAlignment="1">
      <alignment horizontal="center"/>
    </xf>
    <xf numFmtId="0" fontId="1" fillId="0" borderId="0" xfId="0" applyFont="1"/>
    <xf numFmtId="0" fontId="1" fillId="0" borderId="1" xfId="0" applyFont="1" applyBorder="1"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vertical="center"/>
    </xf>
    <xf numFmtId="164" fontId="1" fillId="0" borderId="5" xfId="0" applyNumberFormat="1" applyFont="1" applyBorder="1" applyAlignment="1">
      <alignment horizontal="center"/>
    </xf>
    <xf numFmtId="164" fontId="1" fillId="2" borderId="5" xfId="0" applyNumberFormat="1" applyFont="1" applyFill="1" applyBorder="1" applyAlignment="1">
      <alignment horizontal="center"/>
    </xf>
    <xf numFmtId="164" fontId="1" fillId="0" borderId="6" xfId="0" applyNumberFormat="1" applyFont="1" applyBorder="1" applyAlignment="1">
      <alignment horizontal="center"/>
    </xf>
    <xf numFmtId="0" fontId="1" fillId="0" borderId="7" xfId="0" applyFont="1" applyBorder="1" applyAlignment="1">
      <alignment horizontal="center" vertical="center"/>
    </xf>
    <xf numFmtId="0" fontId="1" fillId="0" borderId="8" xfId="0" applyFont="1" applyBorder="1" applyAlignment="1">
      <alignment horizontal="justify" wrapText="1"/>
    </xf>
    <xf numFmtId="0" fontId="1" fillId="0" borderId="9" xfId="0" applyFont="1" applyBorder="1" applyAlignment="1">
      <alignment horizontal="justify" wrapText="1"/>
    </xf>
    <xf numFmtId="0" fontId="1" fillId="0" borderId="10" xfId="0" applyFont="1" applyBorder="1" applyAlignment="1">
      <alignment horizontal="center" vertical="center"/>
    </xf>
    <xf numFmtId="0" fontId="1" fillId="0" borderId="11" xfId="0" applyFont="1" applyBorder="1"/>
    <xf numFmtId="0" fontId="1" fillId="0" borderId="0" xfId="0" applyFont="1" applyAlignment="1">
      <alignment horizontal="justify" wrapText="1"/>
    </xf>
    <xf numFmtId="0" fontId="1" fillId="0" borderId="11" xfId="0" applyFont="1" applyBorder="1" applyAlignment="1">
      <alignment horizontal="justify" wrapText="1"/>
    </xf>
    <xf numFmtId="0" fontId="1" fillId="0" borderId="0" xfId="0" applyFont="1" applyAlignment="1">
      <alignment horizontal="justify"/>
    </xf>
    <xf numFmtId="0" fontId="1" fillId="0" borderId="11" xfId="0" applyFont="1" applyBorder="1" applyAlignment="1">
      <alignment horizontal="justify"/>
    </xf>
    <xf numFmtId="0" fontId="1" fillId="0" borderId="0" xfId="0" applyFont="1" applyAlignment="1">
      <alignment horizontal="right"/>
    </xf>
    <xf numFmtId="0" fontId="1" fillId="0" borderId="0" xfId="0" applyFont="1" applyAlignment="1">
      <alignment horizontal="justify"/>
    </xf>
    <xf numFmtId="0" fontId="1" fillId="0" borderId="11" xfId="0" applyFont="1" applyBorder="1" applyAlignment="1">
      <alignment horizontal="justify"/>
    </xf>
    <xf numFmtId="0" fontId="1" fillId="0" borderId="12" xfId="0" applyFont="1" applyBorder="1" applyAlignment="1">
      <alignment horizontal="center" vertical="center"/>
    </xf>
    <xf numFmtId="0" fontId="1" fillId="0" borderId="13" xfId="0" applyFont="1" applyBorder="1"/>
    <xf numFmtId="0" fontId="1" fillId="0" borderId="13" xfId="0" applyFont="1" applyBorder="1" applyAlignment="1">
      <alignment horizontal="center"/>
    </xf>
    <xf numFmtId="0" fontId="1" fillId="0" borderId="14" xfId="0" applyFont="1" applyBorder="1"/>
    <xf numFmtId="0" fontId="1" fillId="0" borderId="0" xfId="0" applyFont="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xf>
    <xf numFmtId="0" fontId="1" fillId="3" borderId="9" xfId="0" applyFont="1" applyFill="1" applyBorder="1" applyAlignment="1">
      <alignment horizontal="center"/>
    </xf>
    <xf numFmtId="0" fontId="1" fillId="3" borderId="7" xfId="0" applyFont="1" applyFill="1" applyBorder="1"/>
    <xf numFmtId="0" fontId="1" fillId="3" borderId="8" xfId="0" applyFont="1" applyFill="1" applyBorder="1"/>
    <xf numFmtId="0" fontId="1" fillId="3" borderId="9" xfId="0" applyFont="1" applyFill="1" applyBorder="1"/>
    <xf numFmtId="0" fontId="1" fillId="0" borderId="10" xfId="0" applyFont="1" applyBorder="1" applyAlignment="1">
      <alignment horizontal="center" vertical="center"/>
    </xf>
    <xf numFmtId="0" fontId="1" fillId="0" borderId="0" xfId="0" applyFont="1" applyAlignment="1">
      <alignment horizontal="left"/>
    </xf>
    <xf numFmtId="164" fontId="1" fillId="0" borderId="11" xfId="0" applyNumberFormat="1" applyFont="1" applyBorder="1" applyAlignment="1">
      <alignment horizontal="center"/>
    </xf>
    <xf numFmtId="0" fontId="1" fillId="0" borderId="10" xfId="0" applyFont="1" applyBorder="1"/>
    <xf numFmtId="165" fontId="1" fillId="0" borderId="0" xfId="0" applyNumberFormat="1" applyFont="1" applyAlignment="1">
      <alignment horizontal="center"/>
    </xf>
    <xf numFmtId="164" fontId="1" fillId="0" borderId="0" xfId="0" applyNumberFormat="1" applyFont="1" applyAlignment="1">
      <alignment horizontal="center"/>
    </xf>
    <xf numFmtId="0" fontId="1" fillId="0" borderId="12" xfId="0" applyFont="1" applyBorder="1"/>
    <xf numFmtId="2" fontId="1" fillId="0" borderId="13" xfId="0" applyNumberFormat="1" applyFont="1" applyBorder="1" applyAlignment="1">
      <alignment horizontal="center"/>
    </xf>
    <xf numFmtId="0" fontId="1" fillId="0" borderId="12" xfId="0" applyFont="1" applyBorder="1" applyAlignment="1">
      <alignment horizontal="center"/>
    </xf>
    <xf numFmtId="164" fontId="1" fillId="0" borderId="14" xfId="0" applyNumberFormat="1" applyFont="1" applyBorder="1" applyAlignment="1">
      <alignment horizontal="center"/>
    </xf>
    <xf numFmtId="0" fontId="2" fillId="4" borderId="15" xfId="0" applyFont="1" applyFill="1" applyBorder="1" applyAlignment="1">
      <alignment horizontal="left"/>
    </xf>
    <xf numFmtId="0" fontId="2" fillId="4" borderId="16" xfId="0" applyFont="1" applyFill="1" applyBorder="1" applyAlignment="1">
      <alignment horizontal="left"/>
    </xf>
    <xf numFmtId="0" fontId="1" fillId="0" borderId="16" xfId="0" applyFont="1" applyBorder="1" applyAlignment="1">
      <alignment horizontal="center"/>
    </xf>
    <xf numFmtId="0" fontId="2" fillId="4" borderId="16" xfId="0" applyFont="1" applyFill="1" applyBorder="1" applyAlignment="1">
      <alignment horizontal="center"/>
    </xf>
    <xf numFmtId="0" fontId="2" fillId="4" borderId="17" xfId="0" applyFont="1" applyFill="1" applyBorder="1" applyAlignment="1">
      <alignment horizontal="center"/>
    </xf>
    <xf numFmtId="0" fontId="2" fillId="4" borderId="18" xfId="0" applyFont="1" applyFill="1" applyBorder="1" applyAlignment="1">
      <alignment horizontal="left"/>
    </xf>
    <xf numFmtId="0" fontId="2" fillId="4" borderId="19" xfId="0" applyFont="1" applyFill="1" applyBorder="1" applyAlignment="1">
      <alignment horizontal="left"/>
    </xf>
    <xf numFmtId="166" fontId="3" fillId="4" borderId="19" xfId="0" applyNumberFormat="1" applyFont="1" applyFill="1" applyBorder="1" applyAlignment="1">
      <alignment horizontal="center"/>
    </xf>
    <xf numFmtId="166" fontId="3" fillId="4" borderId="20" xfId="0" applyNumberFormat="1" applyFont="1" applyFill="1" applyBorder="1" applyAlignment="1">
      <alignment horizontal="center"/>
    </xf>
    <xf numFmtId="0" fontId="2" fillId="4" borderId="21" xfId="0" applyFont="1" applyFill="1" applyBorder="1" applyAlignment="1">
      <alignment horizontal="left"/>
    </xf>
    <xf numFmtId="0" fontId="2" fillId="4" borderId="22" xfId="0" applyFont="1" applyFill="1" applyBorder="1" applyAlignment="1">
      <alignment horizontal="left"/>
    </xf>
    <xf numFmtId="166" fontId="3" fillId="4" borderId="22" xfId="0" applyNumberFormat="1" applyFont="1" applyFill="1" applyBorder="1" applyAlignment="1">
      <alignment horizontal="center"/>
    </xf>
    <xf numFmtId="166" fontId="3" fillId="4" borderId="23"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4C852-4523-427A-B2EE-3DD1008FE5B1}">
  <dimension ref="B1:L44"/>
  <sheetViews>
    <sheetView tabSelected="1" workbookViewId="0">
      <selection activeCell="I3" sqref="I3"/>
    </sheetView>
  </sheetViews>
  <sheetFormatPr defaultRowHeight="14.5" x14ac:dyDescent="0.35"/>
  <cols>
    <col min="1" max="1" width="4.08984375" style="2" customWidth="1"/>
    <col min="2" max="2" width="2.36328125" style="1" bestFit="1" customWidth="1"/>
    <col min="3" max="3" width="19.26953125" style="2" customWidth="1"/>
    <col min="4" max="4" width="19.7265625" style="2" bestFit="1" customWidth="1"/>
    <col min="5" max="5" width="31" style="2" bestFit="1" customWidth="1"/>
    <col min="6" max="6" width="12.36328125" style="1" bestFit="1" customWidth="1"/>
    <col min="7" max="7" width="7.7265625" style="2" customWidth="1"/>
    <col min="8" max="8" width="22.1796875" style="2" bestFit="1" customWidth="1"/>
    <col min="9" max="9" width="21.1796875" style="2" customWidth="1"/>
    <col min="10" max="10" width="8" style="2" bestFit="1" customWidth="1"/>
    <col min="11" max="11" width="8.26953125" style="2" bestFit="1" customWidth="1"/>
    <col min="12" max="12" width="8.54296875" style="2" customWidth="1"/>
    <col min="13" max="13" width="6.453125" style="2" bestFit="1" customWidth="1"/>
    <col min="14" max="14" width="6.6328125" style="2" bestFit="1" customWidth="1"/>
    <col min="15" max="16" width="6.7265625" style="2" bestFit="1" customWidth="1"/>
    <col min="17" max="16384" width="8.7265625" style="2"/>
  </cols>
  <sheetData>
    <row r="1" spans="2:12" ht="11" customHeight="1" thickBot="1" x14ac:dyDescent="0.4"/>
    <row r="2" spans="2:12" x14ac:dyDescent="0.35">
      <c r="D2" s="3" t="s">
        <v>0</v>
      </c>
      <c r="E2" s="4" t="s">
        <v>1</v>
      </c>
      <c r="F2" s="4" t="s">
        <v>2</v>
      </c>
      <c r="G2" s="4" t="s">
        <v>3</v>
      </c>
      <c r="H2" s="4" t="s">
        <v>4</v>
      </c>
      <c r="I2" s="5" t="s">
        <v>5</v>
      </c>
    </row>
    <row r="3" spans="2:12" ht="15" thickBot="1" x14ac:dyDescent="0.4">
      <c r="D3" s="6"/>
      <c r="E3" s="7">
        <v>1485</v>
      </c>
      <c r="F3" s="7">
        <v>35</v>
      </c>
      <c r="G3" s="8">
        <v>50</v>
      </c>
      <c r="H3" s="7">
        <f>E3+F3+G3</f>
        <v>1570</v>
      </c>
      <c r="I3" s="9">
        <v>1940</v>
      </c>
    </row>
    <row r="4" spans="2:12" ht="8.5" customHeight="1" thickBot="1" x14ac:dyDescent="0.4"/>
    <row r="5" spans="2:12" x14ac:dyDescent="0.35">
      <c r="B5" s="10">
        <v>1</v>
      </c>
      <c r="C5" s="11" t="s">
        <v>6</v>
      </c>
      <c r="D5" s="11"/>
      <c r="E5" s="11"/>
      <c r="F5" s="11"/>
      <c r="G5" s="11"/>
      <c r="H5" s="11"/>
      <c r="I5" s="11"/>
      <c r="J5" s="11"/>
      <c r="K5" s="11"/>
      <c r="L5" s="12"/>
    </row>
    <row r="6" spans="2:12" x14ac:dyDescent="0.35">
      <c r="B6" s="13">
        <v>2</v>
      </c>
      <c r="C6" s="2" t="s">
        <v>7</v>
      </c>
      <c r="L6" s="14"/>
    </row>
    <row r="7" spans="2:12" ht="28" customHeight="1" x14ac:dyDescent="0.35">
      <c r="B7" s="13">
        <v>3</v>
      </c>
      <c r="C7" s="15" t="s">
        <v>8</v>
      </c>
      <c r="D7" s="15"/>
      <c r="E7" s="15"/>
      <c r="F7" s="15"/>
      <c r="G7" s="15"/>
      <c r="H7" s="15"/>
      <c r="I7" s="15"/>
      <c r="J7" s="15"/>
      <c r="K7" s="15"/>
      <c r="L7" s="16"/>
    </row>
    <row r="8" spans="2:12" ht="27.5" customHeight="1" x14ac:dyDescent="0.35">
      <c r="B8" s="13">
        <v>4</v>
      </c>
      <c r="C8" s="17" t="s">
        <v>9</v>
      </c>
      <c r="D8" s="17"/>
      <c r="E8" s="17"/>
      <c r="F8" s="17"/>
      <c r="G8" s="17"/>
      <c r="H8" s="17"/>
      <c r="I8" s="17"/>
      <c r="J8" s="17"/>
      <c r="K8" s="17"/>
      <c r="L8" s="18"/>
    </row>
    <row r="9" spans="2:12" x14ac:dyDescent="0.35">
      <c r="B9" s="13">
        <v>5</v>
      </c>
      <c r="C9" s="2" t="s">
        <v>10</v>
      </c>
      <c r="L9" s="14"/>
    </row>
    <row r="10" spans="2:12" ht="28.5" customHeight="1" x14ac:dyDescent="0.35">
      <c r="B10" s="13">
        <v>6</v>
      </c>
      <c r="C10" s="17" t="s">
        <v>11</v>
      </c>
      <c r="D10" s="17"/>
      <c r="E10" s="17"/>
      <c r="F10" s="17"/>
      <c r="G10" s="17"/>
      <c r="H10" s="17"/>
      <c r="I10" s="17"/>
      <c r="J10" s="17"/>
      <c r="K10" s="17"/>
      <c r="L10" s="18"/>
    </row>
    <row r="11" spans="2:12" ht="17" customHeight="1" x14ac:dyDescent="0.35">
      <c r="B11" s="13"/>
      <c r="C11" s="2" t="s">
        <v>12</v>
      </c>
      <c r="D11" s="2" t="s">
        <v>13</v>
      </c>
      <c r="E11" s="19" t="s">
        <v>14</v>
      </c>
      <c r="F11" s="2" t="s">
        <v>15</v>
      </c>
      <c r="H11" s="19" t="s">
        <v>16</v>
      </c>
      <c r="I11" s="2" t="s">
        <v>17</v>
      </c>
      <c r="J11" s="20"/>
      <c r="K11" s="20"/>
      <c r="L11" s="21"/>
    </row>
    <row r="12" spans="2:12" x14ac:dyDescent="0.35">
      <c r="B12" s="13">
        <v>7</v>
      </c>
      <c r="C12" s="2" t="s">
        <v>18</v>
      </c>
      <c r="L12" s="14"/>
    </row>
    <row r="13" spans="2:12" x14ac:dyDescent="0.35">
      <c r="B13" s="13"/>
      <c r="C13" s="2" t="s">
        <v>12</v>
      </c>
      <c r="D13" s="2" t="s">
        <v>19</v>
      </c>
      <c r="E13" s="2" t="s">
        <v>14</v>
      </c>
      <c r="F13" s="1" t="s">
        <v>20</v>
      </c>
      <c r="H13" s="2" t="s">
        <v>16</v>
      </c>
      <c r="I13" s="2" t="s">
        <v>21</v>
      </c>
      <c r="L13" s="14"/>
    </row>
    <row r="14" spans="2:12" x14ac:dyDescent="0.35">
      <c r="B14" s="13">
        <v>8</v>
      </c>
      <c r="C14" s="2" t="s">
        <v>22</v>
      </c>
      <c r="L14" s="14"/>
    </row>
    <row r="15" spans="2:12" ht="15" thickBot="1" x14ac:dyDescent="0.4">
      <c r="B15" s="22">
        <v>9</v>
      </c>
      <c r="C15" s="23" t="s">
        <v>23</v>
      </c>
      <c r="D15" s="23"/>
      <c r="E15" s="23"/>
      <c r="F15" s="24"/>
      <c r="G15" s="23"/>
      <c r="H15" s="23"/>
      <c r="I15" s="23"/>
      <c r="J15" s="23"/>
      <c r="K15" s="23"/>
      <c r="L15" s="25"/>
    </row>
    <row r="16" spans="2:12" ht="15" thickBot="1" x14ac:dyDescent="0.4">
      <c r="B16" s="26"/>
    </row>
    <row r="17" spans="2:12" x14ac:dyDescent="0.35">
      <c r="B17" s="27"/>
      <c r="C17" s="28" t="s">
        <v>24</v>
      </c>
      <c r="D17" s="28" t="s">
        <v>25</v>
      </c>
      <c r="E17" s="28" t="s">
        <v>26</v>
      </c>
      <c r="F17" s="29" t="s">
        <v>27</v>
      </c>
      <c r="I17" s="30" t="s">
        <v>28</v>
      </c>
      <c r="J17" s="31"/>
      <c r="K17" s="31"/>
      <c r="L17" s="32"/>
    </row>
    <row r="18" spans="2:12" x14ac:dyDescent="0.35">
      <c r="B18" s="33">
        <v>1</v>
      </c>
      <c r="C18" s="1" t="s">
        <v>12</v>
      </c>
      <c r="D18" s="1" t="s">
        <v>29</v>
      </c>
      <c r="E18" s="34" t="s">
        <v>30</v>
      </c>
      <c r="F18" s="35">
        <v>700</v>
      </c>
      <c r="I18" s="36" t="s">
        <v>31</v>
      </c>
      <c r="J18" s="37">
        <v>7.0000000000000007E-2</v>
      </c>
      <c r="K18" s="2" t="s">
        <v>32</v>
      </c>
      <c r="L18" s="14"/>
    </row>
    <row r="19" spans="2:12" x14ac:dyDescent="0.35">
      <c r="B19" s="33"/>
      <c r="C19" s="1" t="s">
        <v>12</v>
      </c>
      <c r="D19" s="1" t="s">
        <v>29</v>
      </c>
      <c r="E19" s="34" t="s">
        <v>33</v>
      </c>
      <c r="F19" s="35">
        <v>1000</v>
      </c>
      <c r="I19" s="36" t="s">
        <v>34</v>
      </c>
      <c r="J19" s="37">
        <v>0.1</v>
      </c>
      <c r="K19" s="2" t="s">
        <v>32</v>
      </c>
      <c r="L19" s="14"/>
    </row>
    <row r="20" spans="2:12" x14ac:dyDescent="0.35">
      <c r="B20" s="33"/>
      <c r="C20" s="1" t="s">
        <v>12</v>
      </c>
      <c r="D20" s="1" t="s">
        <v>29</v>
      </c>
      <c r="E20" s="34" t="s">
        <v>35</v>
      </c>
      <c r="F20" s="35">
        <v>1100</v>
      </c>
      <c r="I20" s="36" t="s">
        <v>36</v>
      </c>
      <c r="J20" s="37">
        <v>0.4</v>
      </c>
      <c r="K20" s="2" t="s">
        <v>32</v>
      </c>
      <c r="L20" s="14"/>
    </row>
    <row r="21" spans="2:12" x14ac:dyDescent="0.35">
      <c r="B21" s="33"/>
      <c r="C21" s="1" t="s">
        <v>12</v>
      </c>
      <c r="D21" s="1" t="s">
        <v>29</v>
      </c>
      <c r="E21" s="34" t="s">
        <v>37</v>
      </c>
      <c r="F21" s="35">
        <v>1000</v>
      </c>
      <c r="I21" s="36" t="s">
        <v>38</v>
      </c>
      <c r="J21" s="37">
        <v>0.65</v>
      </c>
      <c r="K21" s="2" t="s">
        <v>32</v>
      </c>
      <c r="L21" s="14"/>
    </row>
    <row r="22" spans="2:12" x14ac:dyDescent="0.35">
      <c r="B22" s="33"/>
      <c r="C22" s="1" t="s">
        <v>12</v>
      </c>
      <c r="D22" s="1" t="s">
        <v>29</v>
      </c>
      <c r="E22" s="34" t="s">
        <v>39</v>
      </c>
      <c r="F22" s="35">
        <v>1100</v>
      </c>
      <c r="I22" s="36" t="s">
        <v>40</v>
      </c>
      <c r="J22" s="37">
        <v>0.15</v>
      </c>
      <c r="K22" s="2" t="s">
        <v>32</v>
      </c>
      <c r="L22" s="14"/>
    </row>
    <row r="23" spans="2:12" x14ac:dyDescent="0.35">
      <c r="B23" s="33"/>
      <c r="C23" s="1" t="s">
        <v>12</v>
      </c>
      <c r="D23" s="1" t="s">
        <v>29</v>
      </c>
      <c r="E23" s="34" t="s">
        <v>41</v>
      </c>
      <c r="F23" s="35">
        <v>1150</v>
      </c>
      <c r="I23" s="36" t="s">
        <v>42</v>
      </c>
      <c r="J23" s="38">
        <v>100</v>
      </c>
      <c r="K23" s="2" t="s">
        <v>43</v>
      </c>
      <c r="L23" s="14"/>
    </row>
    <row r="24" spans="2:12" x14ac:dyDescent="0.35">
      <c r="B24" s="33">
        <v>2</v>
      </c>
      <c r="C24" s="1" t="s">
        <v>14</v>
      </c>
      <c r="D24" s="1" t="s">
        <v>44</v>
      </c>
      <c r="E24" s="34" t="s">
        <v>30</v>
      </c>
      <c r="F24" s="35">
        <v>950</v>
      </c>
      <c r="I24" s="36" t="s">
        <v>45</v>
      </c>
      <c r="J24" s="38" t="s">
        <v>46</v>
      </c>
      <c r="K24" s="2" t="s">
        <v>43</v>
      </c>
      <c r="L24" s="14"/>
    </row>
    <row r="25" spans="2:12" x14ac:dyDescent="0.35">
      <c r="B25" s="33"/>
      <c r="C25" s="1" t="s">
        <v>14</v>
      </c>
      <c r="D25" s="1" t="s">
        <v>44</v>
      </c>
      <c r="E25" s="34" t="s">
        <v>33</v>
      </c>
      <c r="F25" s="35">
        <v>1050</v>
      </c>
      <c r="I25" s="36" t="s">
        <v>47</v>
      </c>
      <c r="J25" s="38">
        <v>50</v>
      </c>
      <c r="K25" s="2" t="s">
        <v>43</v>
      </c>
      <c r="L25" s="14"/>
    </row>
    <row r="26" spans="2:12" x14ac:dyDescent="0.35">
      <c r="B26" s="33"/>
      <c r="C26" s="1" t="s">
        <v>14</v>
      </c>
      <c r="D26" s="1" t="s">
        <v>44</v>
      </c>
      <c r="E26" s="34" t="s">
        <v>35</v>
      </c>
      <c r="F26" s="35">
        <v>1150</v>
      </c>
      <c r="I26" s="36" t="s">
        <v>48</v>
      </c>
      <c r="J26" s="1" t="s">
        <v>49</v>
      </c>
      <c r="K26" s="2" t="s">
        <v>43</v>
      </c>
      <c r="L26" s="14"/>
    </row>
    <row r="27" spans="2:12" x14ac:dyDescent="0.35">
      <c r="B27" s="33"/>
      <c r="C27" s="1" t="s">
        <v>14</v>
      </c>
      <c r="D27" s="1" t="s">
        <v>44</v>
      </c>
      <c r="E27" s="34" t="s">
        <v>37</v>
      </c>
      <c r="F27" s="35">
        <v>1050</v>
      </c>
      <c r="I27" s="36" t="s">
        <v>50</v>
      </c>
      <c r="J27" s="1" t="s">
        <v>51</v>
      </c>
      <c r="K27" s="2" t="s">
        <v>43</v>
      </c>
      <c r="L27" s="14" t="s">
        <v>52</v>
      </c>
    </row>
    <row r="28" spans="2:12" x14ac:dyDescent="0.35">
      <c r="B28" s="33"/>
      <c r="C28" s="1" t="s">
        <v>14</v>
      </c>
      <c r="D28" s="1" t="s">
        <v>44</v>
      </c>
      <c r="E28" s="34" t="s">
        <v>39</v>
      </c>
      <c r="F28" s="35">
        <v>1150</v>
      </c>
      <c r="I28" s="36" t="s">
        <v>53</v>
      </c>
      <c r="J28" s="1" t="s">
        <v>54</v>
      </c>
      <c r="K28" s="2" t="s">
        <v>43</v>
      </c>
      <c r="L28" s="14" t="s">
        <v>52</v>
      </c>
    </row>
    <row r="29" spans="2:12" x14ac:dyDescent="0.35">
      <c r="B29" s="33"/>
      <c r="C29" s="1" t="s">
        <v>14</v>
      </c>
      <c r="D29" s="1" t="s">
        <v>44</v>
      </c>
      <c r="E29" s="34" t="s">
        <v>55</v>
      </c>
      <c r="F29" s="35">
        <v>1250</v>
      </c>
      <c r="I29" s="36" t="s">
        <v>56</v>
      </c>
      <c r="J29" s="1" t="s">
        <v>57</v>
      </c>
      <c r="K29" s="2" t="s">
        <v>43</v>
      </c>
      <c r="L29" s="14" t="s">
        <v>52</v>
      </c>
    </row>
    <row r="30" spans="2:12" x14ac:dyDescent="0.35">
      <c r="B30" s="33">
        <v>3</v>
      </c>
      <c r="C30" s="1" t="s">
        <v>16</v>
      </c>
      <c r="D30" s="1" t="s">
        <v>29</v>
      </c>
      <c r="E30" s="34" t="s">
        <v>33</v>
      </c>
      <c r="F30" s="35">
        <v>1050</v>
      </c>
      <c r="I30" s="36" t="s">
        <v>58</v>
      </c>
      <c r="J30" s="1" t="s">
        <v>59</v>
      </c>
      <c r="K30" s="2" t="s">
        <v>43</v>
      </c>
      <c r="L30" s="14" t="s">
        <v>52</v>
      </c>
    </row>
    <row r="31" spans="2:12" x14ac:dyDescent="0.35">
      <c r="B31" s="33"/>
      <c r="C31" s="1" t="s">
        <v>16</v>
      </c>
      <c r="D31" s="1" t="s">
        <v>29</v>
      </c>
      <c r="E31" s="34" t="s">
        <v>35</v>
      </c>
      <c r="F31" s="35">
        <v>1150</v>
      </c>
      <c r="I31" s="36" t="s">
        <v>60</v>
      </c>
      <c r="J31" s="1" t="s">
        <v>61</v>
      </c>
      <c r="K31" s="2" t="s">
        <v>43</v>
      </c>
      <c r="L31" s="14" t="s">
        <v>52</v>
      </c>
    </row>
    <row r="32" spans="2:12" x14ac:dyDescent="0.35">
      <c r="B32" s="33"/>
      <c r="C32" s="1" t="s">
        <v>16</v>
      </c>
      <c r="D32" s="1" t="s">
        <v>44</v>
      </c>
      <c r="E32" s="34" t="s">
        <v>33</v>
      </c>
      <c r="F32" s="35">
        <v>1150</v>
      </c>
      <c r="I32" s="36" t="s">
        <v>62</v>
      </c>
      <c r="J32" s="1" t="s">
        <v>63</v>
      </c>
      <c r="K32" s="2" t="s">
        <v>43</v>
      </c>
      <c r="L32" s="14" t="s">
        <v>52</v>
      </c>
    </row>
    <row r="33" spans="2:12" x14ac:dyDescent="0.35">
      <c r="B33" s="33"/>
      <c r="C33" s="1" t="s">
        <v>16</v>
      </c>
      <c r="D33" s="1" t="s">
        <v>44</v>
      </c>
      <c r="E33" s="34" t="s">
        <v>35</v>
      </c>
      <c r="F33" s="35">
        <v>1250</v>
      </c>
      <c r="I33" s="36" t="s">
        <v>64</v>
      </c>
      <c r="J33" s="1" t="s">
        <v>65</v>
      </c>
      <c r="K33" s="2" t="s">
        <v>43</v>
      </c>
      <c r="L33" s="14" t="s">
        <v>52</v>
      </c>
    </row>
    <row r="34" spans="2:12" x14ac:dyDescent="0.35">
      <c r="B34" s="33">
        <v>4</v>
      </c>
      <c r="C34" s="1" t="s">
        <v>66</v>
      </c>
      <c r="D34" s="1" t="s">
        <v>66</v>
      </c>
      <c r="E34" s="34" t="s">
        <v>67</v>
      </c>
      <c r="F34" s="35">
        <v>1000</v>
      </c>
      <c r="I34" s="36" t="s">
        <v>68</v>
      </c>
      <c r="J34" s="1" t="s">
        <v>69</v>
      </c>
      <c r="K34" s="2" t="s">
        <v>43</v>
      </c>
      <c r="L34" s="14" t="s">
        <v>52</v>
      </c>
    </row>
    <row r="35" spans="2:12" x14ac:dyDescent="0.35">
      <c r="B35" s="33"/>
      <c r="C35" s="1" t="s">
        <v>66</v>
      </c>
      <c r="D35" s="1" t="s">
        <v>66</v>
      </c>
      <c r="E35" s="34" t="s">
        <v>70</v>
      </c>
      <c r="F35" s="35">
        <v>1050</v>
      </c>
      <c r="I35" s="36" t="s">
        <v>71</v>
      </c>
      <c r="J35" s="1"/>
      <c r="L35" s="14"/>
    </row>
    <row r="36" spans="2:12" x14ac:dyDescent="0.35">
      <c r="B36" s="33"/>
      <c r="C36" s="1" t="s">
        <v>66</v>
      </c>
      <c r="D36" s="1" t="s">
        <v>66</v>
      </c>
      <c r="E36" s="34" t="s">
        <v>72</v>
      </c>
      <c r="F36" s="35">
        <v>1150</v>
      </c>
      <c r="I36" s="36" t="s">
        <v>73</v>
      </c>
      <c r="J36" s="1" t="s">
        <v>74</v>
      </c>
      <c r="K36" s="2" t="s">
        <v>32</v>
      </c>
      <c r="L36" s="14"/>
    </row>
    <row r="37" spans="2:12" ht="15" thickBot="1" x14ac:dyDescent="0.4">
      <c r="B37" s="33"/>
      <c r="C37" s="1" t="s">
        <v>66</v>
      </c>
      <c r="D37" s="1" t="s">
        <v>75</v>
      </c>
      <c r="E37" s="34" t="s">
        <v>76</v>
      </c>
      <c r="F37" s="35">
        <v>1450</v>
      </c>
      <c r="I37" s="39" t="s">
        <v>77</v>
      </c>
      <c r="J37" s="40" t="s">
        <v>78</v>
      </c>
      <c r="K37" s="23" t="s">
        <v>32</v>
      </c>
      <c r="L37" s="25"/>
    </row>
    <row r="38" spans="2:12" x14ac:dyDescent="0.35">
      <c r="B38" s="33"/>
      <c r="C38" s="1" t="s">
        <v>66</v>
      </c>
      <c r="D38" s="1" t="s">
        <v>79</v>
      </c>
      <c r="E38" s="34" t="s">
        <v>76</v>
      </c>
      <c r="F38" s="35">
        <v>1550</v>
      </c>
    </row>
    <row r="39" spans="2:12" x14ac:dyDescent="0.35">
      <c r="B39" s="13">
        <v>5</v>
      </c>
      <c r="C39" s="1" t="s">
        <v>80</v>
      </c>
      <c r="D39" s="1" t="s">
        <v>44</v>
      </c>
      <c r="E39" s="34" t="s">
        <v>81</v>
      </c>
      <c r="F39" s="35">
        <v>2000</v>
      </c>
    </row>
    <row r="40" spans="2:12" ht="15" thickBot="1" x14ac:dyDescent="0.4">
      <c r="B40" s="41">
        <v>6</v>
      </c>
      <c r="C40" s="24" t="s">
        <v>82</v>
      </c>
      <c r="D40" s="24" t="s">
        <v>29</v>
      </c>
      <c r="E40" s="23" t="s">
        <v>83</v>
      </c>
      <c r="F40" s="42">
        <v>1100</v>
      </c>
    </row>
    <row r="41" spans="2:12" ht="15" thickBot="1" x14ac:dyDescent="0.4">
      <c r="D41" s="1"/>
    </row>
    <row r="42" spans="2:12" x14ac:dyDescent="0.35">
      <c r="B42" s="43" t="s">
        <v>84</v>
      </c>
      <c r="C42" s="44"/>
      <c r="D42" s="45" t="s">
        <v>85</v>
      </c>
      <c r="E42" s="46" t="s">
        <v>86</v>
      </c>
      <c r="F42" s="46" t="s">
        <v>87</v>
      </c>
      <c r="G42" s="46" t="s">
        <v>88</v>
      </c>
      <c r="H42" s="46" t="s">
        <v>89</v>
      </c>
      <c r="I42" s="46" t="s">
        <v>90</v>
      </c>
      <c r="J42" s="46" t="s">
        <v>91</v>
      </c>
      <c r="K42" s="47" t="s">
        <v>92</v>
      </c>
    </row>
    <row r="43" spans="2:12" x14ac:dyDescent="0.35">
      <c r="B43" s="48" t="s">
        <v>93</v>
      </c>
      <c r="C43" s="49"/>
      <c r="D43" s="50">
        <v>0.44</v>
      </c>
      <c r="E43" s="50">
        <v>0.1</v>
      </c>
      <c r="F43" s="50">
        <v>0.12</v>
      </c>
      <c r="G43" s="50">
        <v>0.14000000000000001</v>
      </c>
      <c r="H43" s="50">
        <v>0.16</v>
      </c>
      <c r="I43" s="50">
        <v>0.18</v>
      </c>
      <c r="J43" s="50">
        <v>0.2</v>
      </c>
      <c r="K43" s="51">
        <v>0.21</v>
      </c>
    </row>
    <row r="44" spans="2:12" ht="15" thickBot="1" x14ac:dyDescent="0.4">
      <c r="B44" s="52" t="s">
        <v>94</v>
      </c>
      <c r="C44" s="53"/>
      <c r="D44" s="54">
        <v>0.1</v>
      </c>
      <c r="E44" s="54">
        <v>0.05</v>
      </c>
      <c r="F44" s="54">
        <v>7.0000000000000007E-2</v>
      </c>
      <c r="G44" s="54">
        <v>0.09</v>
      </c>
      <c r="H44" s="54">
        <v>0.08</v>
      </c>
      <c r="I44" s="54">
        <v>0.1</v>
      </c>
      <c r="J44" s="54">
        <v>0.14000000000000001</v>
      </c>
      <c r="K44" s="55">
        <v>0.15</v>
      </c>
    </row>
  </sheetData>
  <mergeCells count="12">
    <mergeCell ref="B24:B29"/>
    <mergeCell ref="B30:B33"/>
    <mergeCell ref="B34:B38"/>
    <mergeCell ref="B42:C42"/>
    <mergeCell ref="B43:C43"/>
    <mergeCell ref="B44:C44"/>
    <mergeCell ref="D2:D3"/>
    <mergeCell ref="C5:L5"/>
    <mergeCell ref="C7:L7"/>
    <mergeCell ref="C8:L8"/>
    <mergeCell ref="C10:L10"/>
    <mergeCell ref="B18:B23"/>
  </mergeCells>
  <pageMargins left="0" right="0" top="0.35433070866141736" bottom="0.35433070866141736" header="0.31496062992125984" footer="0.31496062992125984"/>
  <pageSetup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16-04-26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Dilendra Singh</dc:creator>
  <cp:lastModifiedBy>Dilendra Singh</cp:lastModifiedBy>
  <dcterms:created xsi:type="dcterms:W3CDTF">2026-04-16T06:49:48Z</dcterms:created>
  <dcterms:modified xsi:type="dcterms:W3CDTF">2026-04-16T06:49:54Z</dcterms:modified>
</cp:coreProperties>
</file>